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áčení KE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.m.yyyy"/>
  </numFmts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D3"/>
        <bgColor/>
      </patternFill>
    </fill>
    <fill>
      <patternFill patternType="solid">
        <fgColor rgb="FFD9EAD3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5" fontId="4" fillId="0" borderId="4" xfId="0" applyFont="1" applyBorder="1" applyNumberFormat="1"/>
    <xf numFmtId="0" fontId="5" fillId="0" borderId="5" xfId="0" applyFont="1" applyBorder="1" applyAlignment="1">
      <alignment horizontal="center"/>
    </xf>
    <xf numFmtId="2" fontId="6" fillId="0" borderId="6" xfId="0" applyFont="1" applyBorder="1" applyNumberFormat="1" applyAlignment="1">
      <alignment horizontal="center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2" fontId="9" fillId="0" borderId="9" xfId="0" applyFont="1" applyBorder="1" applyNumberForma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12.83203125" customWidth="1"/>
    <col min="2" max="2" width="16.83203125" customWidth="1"/>
    <col min="3" max="3" width="7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12.83203125" customWidth="1"/>
    <col min="9" max="9" width="13.83203125" customWidth="1"/>
  </cols>
  <sheetData>
    <row r="1">
      <c r="A1" s="3" t="str">
        <v>Datum</v>
      </c>
      <c r="B1" s="4" t="str">
        <v>Druh piva</v>
      </c>
      <c r="C1" s="4" t="str">
        <v>Stočené množství</v>
      </c>
      <c r="D1" s="4" t="str">
        <v/>
      </c>
      <c r="E1" s="4" t="str">
        <v/>
      </c>
      <c r="F1" s="4" t="str">
        <v/>
      </c>
      <c r="G1" s="4" t="str">
        <v/>
      </c>
      <c r="H1" s="4" t="str">
        <v>Tank č.</v>
      </c>
      <c r="I1" s="4" t="str">
        <v>množství hl</v>
      </c>
    </row>
    <row r="2">
      <c r="A2" s="4" t="str">
        <v>Datum</v>
      </c>
      <c r="B2" s="4" t="str">
        <v>Druh piva</v>
      </c>
      <c r="C2" s="4" t="str">
        <v>50 l</v>
      </c>
      <c r="D2" s="4" t="str">
        <v>30 l</v>
      </c>
      <c r="E2" s="4" t="str">
        <v>20 l</v>
      </c>
      <c r="F2" s="4" t="str">
        <v>15 l</v>
      </c>
      <c r="G2" s="4" t="str">
        <v>10 l</v>
      </c>
      <c r="H2" s="4" t="str">
        <v>Tank č.</v>
      </c>
      <c r="I2" s="4" t="str">
        <v>množství hl</v>
      </c>
    </row>
    <row r="3">
      <c r="A3" s="5" t="d">
        <v>2026-07-05T12:00:00.000Z</v>
      </c>
      <c r="B3" s="5" t="str">
        <v>11 Světlá</v>
      </c>
      <c r="C3" s="6">
        <v>1</v>
      </c>
      <c r="H3" s="5" t="str">
        <v/>
      </c>
      <c r="I3" s="7">
        <f>(C3*50+D3*30+E3*20+F3*15+G3*10)/100</f>
        <v>0.5</v>
      </c>
    </row>
    <row r="4">
      <c r="A4" s="5" t="d">
        <v>2026-07-05T12:00:00.000Z</v>
      </c>
      <c r="B4" s="5" t="str">
        <v>11 Summer Ale</v>
      </c>
      <c r="C4" s="7">
        <v>1</v>
      </c>
      <c r="D4" s="7">
        <v>8</v>
      </c>
      <c r="H4" s="5" t="str">
        <v/>
      </c>
      <c r="I4" s="7">
        <f>(C4*50+D4*30+E4*20+F4*15+G4*10)/100</f>
        <v>2.9</v>
      </c>
    </row>
    <row r="5">
      <c r="A5" s="5" t="d">
        <v>2026-07-06T12:00:00.000Z</v>
      </c>
      <c r="B5" s="5" t="str">
        <v>Desítka</v>
      </c>
      <c r="D5" s="7">
        <v>6</v>
      </c>
      <c r="H5" s="5" t="str">
        <v/>
      </c>
      <c r="I5" s="7">
        <f>(C5*50+D5*30+E5*20+F5*15+G5*10)/100</f>
        <v>1.8</v>
      </c>
    </row>
    <row r="6">
      <c r="A6" s="5" t="d">
        <v>2026-07-06T12:00:00.000Z</v>
      </c>
      <c r="B6" s="5" t="str">
        <v>11 Světlá</v>
      </c>
      <c r="D6" s="7">
        <v>18</v>
      </c>
      <c r="H6" s="5" t="str">
        <v/>
      </c>
      <c r="I6" s="7">
        <f>(C6*50+D6*30+E6*20+F6*15+G6*10)/100</f>
        <v>5.4</v>
      </c>
    </row>
    <row r="7">
      <c r="A7" s="5" t="d">
        <v>2026-07-06T12:00:00.000Z</v>
      </c>
      <c r="B7" s="5" t="str">
        <v>12 Světlá</v>
      </c>
      <c r="C7" s="7">
        <v>9</v>
      </c>
      <c r="D7" s="7">
        <v>26</v>
      </c>
      <c r="H7" s="5" t="str">
        <v/>
      </c>
      <c r="I7" s="7">
        <f>(C7*50+D7*30+E7*20+F7*15+G7*10)/100</f>
        <v>12.3</v>
      </c>
    </row>
    <row r="8">
      <c r="A8" s="5" t="d">
        <v>2026-07-06T12:00:00.000Z</v>
      </c>
      <c r="B8" s="5" t="str">
        <v>Osma</v>
      </c>
      <c r="C8" s="7">
        <v>4</v>
      </c>
      <c r="H8" s="5" t="str">
        <v/>
      </c>
      <c r="I8" s="7">
        <f>(C8*50+D8*30+E8*20+F8*15+G8*10)/100</f>
        <v>2</v>
      </c>
    </row>
    <row r="9">
      <c r="A9" s="5" t="d">
        <v>2026-07-06T12:00:00.000Z</v>
      </c>
      <c r="B9" s="5" t="str">
        <v>11 Summer Ale</v>
      </c>
      <c r="D9" s="7">
        <v>6</v>
      </c>
      <c r="H9" s="5" t="str">
        <v/>
      </c>
      <c r="I9" s="7">
        <f>(C9*50+D9*30+E9*20+F9*15+G9*10)/100</f>
        <v>1.8</v>
      </c>
    </row>
    <row r="10">
      <c r="A10" s="5" t="d">
        <v>2026-07-07T12:00:00.000Z</v>
      </c>
      <c r="B10" s="5" t="str">
        <v>12 Světlá</v>
      </c>
      <c r="G10" s="7">
        <v>1</v>
      </c>
      <c r="H10" s="5" t="str">
        <v/>
      </c>
      <c r="I10" s="7">
        <f>(C10*50+D10*30+E10*20+F10*15+G10*10)/100</f>
        <v>0.1</v>
      </c>
    </row>
    <row r="11">
      <c r="A11" s="5" t="d">
        <v>2026-07-08T12:00:00.000Z</v>
      </c>
      <c r="B11" s="5" t="str">
        <v>Osma</v>
      </c>
      <c r="C11" s="7">
        <v>6</v>
      </c>
      <c r="H11" s="5" t="str">
        <v/>
      </c>
      <c r="I11" s="7">
        <f>(C11*50+D11*30+E11*20+F11*15+G11*10)/100</f>
        <v>3</v>
      </c>
    </row>
    <row r="12">
      <c r="A12" s="5" t="d">
        <v>2026-07-10T12:00:00.000Z</v>
      </c>
      <c r="B12" s="5" t="str">
        <v>11 Světlá</v>
      </c>
      <c r="C12" s="7">
        <v>11</v>
      </c>
      <c r="H12" s="5" t="str">
        <v/>
      </c>
      <c r="I12" s="7">
        <f>(C12*50+D12*30+E12*20+F12*15+G12*10)/100</f>
        <v>5.5</v>
      </c>
    </row>
    <row r="13">
      <c r="A13" s="5" t="d">
        <v>2026-07-13T12:00:00.000Z</v>
      </c>
      <c r="B13" s="5" t="str">
        <v>Desítka</v>
      </c>
      <c r="C13" s="7">
        <v>4</v>
      </c>
      <c r="D13" s="7">
        <v>16</v>
      </c>
      <c r="H13" s="5" t="str">
        <v/>
      </c>
      <c r="I13" s="7">
        <f>(C13*50+D13*30+E13*20+F13*15+G13*10)/100</f>
        <v>6.8</v>
      </c>
    </row>
    <row r="14">
      <c r="A14" s="5" t="d">
        <v>2026-07-13T12:00:00.000Z</v>
      </c>
      <c r="B14" s="5" t="str">
        <v>11 Světlá</v>
      </c>
      <c r="C14" s="7">
        <v>3</v>
      </c>
      <c r="D14" s="7">
        <v>21</v>
      </c>
      <c r="F14" s="7">
        <v>2</v>
      </c>
      <c r="G14" s="7">
        <v>1</v>
      </c>
      <c r="H14" s="5" t="str">
        <v/>
      </c>
      <c r="I14" s="7">
        <f>(C14*50+D14*30+E14*20+F14*15+G14*10)/100</f>
        <v>8.2</v>
      </c>
    </row>
    <row r="15">
      <c r="A15" s="5" t="d">
        <v>2026-07-13T12:00:00.000Z</v>
      </c>
      <c r="B15" s="5" t="str">
        <v>12 Světlá</v>
      </c>
      <c r="C15" s="7">
        <v>22</v>
      </c>
      <c r="D15" s="7">
        <v>20</v>
      </c>
      <c r="E15" s="7">
        <v>4</v>
      </c>
      <c r="F15" s="7">
        <v>4</v>
      </c>
      <c r="H15" s="5" t="str">
        <v/>
      </c>
      <c r="I15" s="7">
        <f>(C15*50+D15*30+E15*20+F15*15+G15*10)/100</f>
        <v>18.4</v>
      </c>
    </row>
    <row r="16">
      <c r="A16" s="5" t="d">
        <v>2026-07-13T12:00:00.000Z</v>
      </c>
      <c r="B16" s="5" t="str">
        <v>12 Tmavá</v>
      </c>
      <c r="C16" s="7">
        <v>8</v>
      </c>
      <c r="D16" s="7">
        <v>5</v>
      </c>
      <c r="H16" s="5" t="str">
        <v/>
      </c>
      <c r="I16" s="7">
        <f>(C16*50+D16*30+E16*20+F16*15+G16*10)/100</f>
        <v>5.5</v>
      </c>
    </row>
    <row r="17">
      <c r="A17" s="5" t="d">
        <v>2026-07-13T12:00:00.000Z</v>
      </c>
      <c r="B17" s="5" t="str">
        <v>Jantar</v>
      </c>
      <c r="C17" s="7">
        <v>6</v>
      </c>
      <c r="D17" s="7">
        <v>10</v>
      </c>
      <c r="H17" s="5" t="str">
        <v/>
      </c>
      <c r="I17" s="7">
        <f>(C17*50+D17*30+E17*20+F17*15+G17*10)/100</f>
        <v>6</v>
      </c>
    </row>
    <row r="18">
      <c r="A18" s="5" t="d">
        <v>2026-07-13T12:00:00.000Z</v>
      </c>
      <c r="B18" s="5" t="str">
        <v>Osma</v>
      </c>
      <c r="C18" s="7">
        <v>7</v>
      </c>
      <c r="H18" s="5" t="str">
        <v/>
      </c>
      <c r="I18" s="7">
        <f>(C18*50+D18*30+E18*20+F18*15+G18*10)/100</f>
        <v>3.5</v>
      </c>
    </row>
    <row r="19">
      <c r="A19" s="5" t="d">
        <v>2026-07-13T12:00:00.000Z</v>
      </c>
      <c r="B19" s="5" t="str">
        <v>11 Summer Ale</v>
      </c>
      <c r="C19" s="7">
        <v>2</v>
      </c>
      <c r="D19" s="7">
        <v>8</v>
      </c>
      <c r="F19" s="7">
        <v>1</v>
      </c>
      <c r="H19" s="5" t="str">
        <v/>
      </c>
      <c r="I19" s="7">
        <f>(C19*50+D19*30+E19*20+F19*15+G19*10)/100</f>
        <v>3.55</v>
      </c>
    </row>
    <row r="20">
      <c r="A20" s="5" t="d">
        <v>2026-07-20T12:00:00.000Z</v>
      </c>
      <c r="B20" s="5" t="str">
        <v>Desítka</v>
      </c>
      <c r="D20" s="7">
        <v>10</v>
      </c>
      <c r="E20" s="7">
        <v>1</v>
      </c>
      <c r="F20" s="7">
        <v>7</v>
      </c>
      <c r="G20" s="7">
        <v>3</v>
      </c>
      <c r="H20" s="5" t="str">
        <v/>
      </c>
      <c r="I20" s="7">
        <f>(C20*50+D20*30+E20*20+F20*15+G20*10)/100</f>
        <v>4.55</v>
      </c>
    </row>
    <row r="21">
      <c r="A21" s="5" t="d">
        <v>2026-07-20T12:00:00.000Z</v>
      </c>
      <c r="B21" s="5" t="str">
        <v>11 Světlá</v>
      </c>
      <c r="C21" s="7">
        <v>7</v>
      </c>
      <c r="D21" s="7">
        <v>11</v>
      </c>
      <c r="H21" s="5" t="str">
        <v/>
      </c>
      <c r="I21" s="7">
        <f>(C21*50+D21*30+E21*20+F21*15+G21*10)/100</f>
        <v>6.8</v>
      </c>
    </row>
    <row r="22">
      <c r="A22" s="5" t="d">
        <v>2026-07-20T12:00:00.000Z</v>
      </c>
      <c r="B22" s="5" t="str">
        <v>12 Světlá</v>
      </c>
      <c r="C22" s="7">
        <v>31</v>
      </c>
      <c r="D22" s="7">
        <v>19</v>
      </c>
      <c r="H22" s="5" t="str">
        <v/>
      </c>
      <c r="I22" s="7">
        <f>(C22*50+D22*30+E22*20+F22*15+G22*10)/100</f>
        <v>21.2</v>
      </c>
    </row>
    <row r="23">
      <c r="A23" s="5" t="d">
        <v>2026-07-21T12:00:00.000Z</v>
      </c>
      <c r="B23" s="5" t="str">
        <v>11 Světlá</v>
      </c>
      <c r="E23" s="7">
        <v>1</v>
      </c>
      <c r="F23" s="7">
        <v>1</v>
      </c>
      <c r="G23" s="7">
        <v>3</v>
      </c>
      <c r="H23" s="5" t="str">
        <v/>
      </c>
      <c r="I23" s="7">
        <f>(C23*50+D23*30+E23*20+F23*15+G23*10)/100</f>
        <v>0.65</v>
      </c>
    </row>
    <row r="24">
      <c r="A24" s="5" t="d">
        <v>2026-07-21T12:00:00.000Z</v>
      </c>
      <c r="B24" s="5" t="str">
        <v>Osma</v>
      </c>
      <c r="D24" s="7">
        <v>5</v>
      </c>
      <c r="H24" s="5" t="str">
        <v/>
      </c>
      <c r="I24" s="7">
        <f>(C24*50+D24*30+E24*20+F24*15+G24*10)/100</f>
        <v>1.5</v>
      </c>
    </row>
    <row r="25">
      <c r="A25" s="5" t="d">
        <v>2026-07-21T12:00:00.000Z</v>
      </c>
      <c r="B25" s="5" t="str">
        <v>11 Summer Ale</v>
      </c>
      <c r="C25" s="7">
        <v>3</v>
      </c>
      <c r="D25" s="7">
        <v>7</v>
      </c>
      <c r="F25" s="7">
        <v>1</v>
      </c>
      <c r="H25" s="5" t="str">
        <v/>
      </c>
      <c r="I25" s="7">
        <f>(C25*50+D25*30+E25*20+F25*15+G25*10)/100</f>
        <v>3.75</v>
      </c>
    </row>
    <row r="26">
      <c r="A26" s="5" t="d">
        <v>2026-07-22T12:00:00.000Z</v>
      </c>
      <c r="B26" s="5" t="str">
        <v>Desítka</v>
      </c>
      <c r="C26" s="7">
        <v>12</v>
      </c>
      <c r="H26" s="5" t="str">
        <v/>
      </c>
      <c r="I26" s="7">
        <f>(C26*50+D26*30+E26*20+F26*15+G26*10)/100</f>
        <v>6</v>
      </c>
    </row>
    <row r="27">
      <c r="A27" s="5" t="d">
        <v>2026-07-22T12:00:00.000Z</v>
      </c>
      <c r="B27" s="5" t="str">
        <v>11 Světlá</v>
      </c>
      <c r="E27" s="7">
        <v>8</v>
      </c>
      <c r="H27" s="5" t="str">
        <v/>
      </c>
      <c r="I27" s="7">
        <f>(C27*50+D27*30+E27*20+F27*15+G27*10)/100</f>
        <v>1.6</v>
      </c>
    </row>
    <row r="28">
      <c r="A28" s="5" t="d">
        <v>2026-07-22T12:00:00.000Z</v>
      </c>
      <c r="B28" s="5" t="str">
        <v>12 Světlá</v>
      </c>
      <c r="C28" s="7">
        <v>12</v>
      </c>
      <c r="H28" s="5" t="str">
        <v/>
      </c>
      <c r="I28" s="7">
        <f>(C28*50+D28*30+E28*20+F28*15+G28*10)/100</f>
        <v>6</v>
      </c>
    </row>
    <row r="29">
      <c r="A29" s="5" t="d">
        <v>2026-07-22T12:00:00.000Z</v>
      </c>
      <c r="B29" s="5" t="str">
        <v>Osma</v>
      </c>
      <c r="C29" s="7">
        <v>4</v>
      </c>
      <c r="D29" s="7">
        <v>5</v>
      </c>
      <c r="H29" s="5" t="str">
        <v/>
      </c>
      <c r="I29" s="7">
        <f>(C29*50+D29*30+E29*20+F29*15+G29*10)/100</f>
        <v>3.5</v>
      </c>
    </row>
    <row r="30">
      <c r="A30" s="5" t="d">
        <v>2026-07-23T12:00:00.000Z</v>
      </c>
      <c r="B30" s="5" t="str">
        <v>11 Světlá</v>
      </c>
      <c r="D30" s="7">
        <v>4</v>
      </c>
      <c r="H30" s="5" t="str">
        <v/>
      </c>
      <c r="I30" s="7">
        <f>(C30*50+D30*30+E30*20+F30*15+G30*10)/100</f>
        <v>1.2</v>
      </c>
    </row>
    <row r="31">
      <c r="A31" s="5" t="d">
        <v>2026-07-23T12:00:00.000Z</v>
      </c>
      <c r="B31" s="5" t="str">
        <v>12 Světlá</v>
      </c>
      <c r="D31" s="7">
        <v>18</v>
      </c>
      <c r="H31" s="5" t="str">
        <v/>
      </c>
      <c r="I31" s="7">
        <f>(C31*50+D31*30+E31*20+F31*15+G31*10)/100</f>
        <v>5.4</v>
      </c>
    </row>
    <row r="32">
      <c r="A32" s="5" t="d">
        <v>2026-07-27T12:00:00.000Z</v>
      </c>
      <c r="B32" s="5" t="str">
        <v>Desítka</v>
      </c>
      <c r="C32" s="7">
        <v>11</v>
      </c>
      <c r="D32" s="7">
        <v>36</v>
      </c>
      <c r="E32" s="7">
        <v>2</v>
      </c>
      <c r="G32" s="7">
        <v>3</v>
      </c>
      <c r="H32" s="5" t="str">
        <v/>
      </c>
      <c r="I32" s="7">
        <f>(C32*50+D32*30+E32*20+F32*15+G32*10)/100</f>
        <v>17</v>
      </c>
    </row>
    <row r="33">
      <c r="A33" s="5" t="d">
        <v>2026-07-27T12:00:00.000Z</v>
      </c>
      <c r="B33" s="5" t="str">
        <v>11 Světlá</v>
      </c>
      <c r="C33" s="7">
        <v>6</v>
      </c>
      <c r="D33" s="7">
        <v>12</v>
      </c>
      <c r="E33" s="7">
        <v>8</v>
      </c>
      <c r="F33" s="7">
        <v>5</v>
      </c>
      <c r="G33" s="7">
        <v>1</v>
      </c>
      <c r="H33" s="5" t="str">
        <v/>
      </c>
      <c r="I33" s="7">
        <f>(C33*50+D33*30+E33*20+F33*15+G33*10)/100</f>
        <v>9.05</v>
      </c>
    </row>
    <row r="34">
      <c r="A34" s="5" t="d">
        <v>2026-07-27T12:00:00.000Z</v>
      </c>
      <c r="B34" s="5" t="str">
        <v>12 Světlá</v>
      </c>
      <c r="C34" s="7">
        <v>18</v>
      </c>
      <c r="D34" s="7">
        <v>25</v>
      </c>
      <c r="E34" s="7">
        <v>1</v>
      </c>
      <c r="F34" s="7">
        <v>2</v>
      </c>
      <c r="H34" s="5" t="str">
        <v/>
      </c>
      <c r="I34" s="7">
        <f>(C34*50+D34*30+E34*20+F34*15+G34*10)/100</f>
        <v>17</v>
      </c>
    </row>
    <row r="35">
      <c r="A35" s="5" t="d">
        <v>2026-07-27T12:00:00.000Z</v>
      </c>
      <c r="B35" s="5" t="str">
        <v>12 Tmavá</v>
      </c>
      <c r="D35" s="7">
        <v>4</v>
      </c>
      <c r="H35" s="5" t="str">
        <v/>
      </c>
      <c r="I35" s="7">
        <f>(C35*50+D35*30+E35*20+F35*15+G35*10)/100</f>
        <v>1.2</v>
      </c>
    </row>
    <row r="36">
      <c r="A36" s="5" t="d">
        <v>2026-07-27T12:00:00.000Z</v>
      </c>
      <c r="B36" s="5" t="str">
        <v>Osma</v>
      </c>
      <c r="D36" s="7">
        <v>3</v>
      </c>
      <c r="H36" s="5" t="str">
        <v/>
      </c>
      <c r="I36" s="7">
        <f>(C36*50+D36*30+E36*20+F36*15+G36*10)/100</f>
        <v>0.9</v>
      </c>
    </row>
    <row r="37">
      <c r="A37" s="5" t="d">
        <v>2026-07-27T12:00:00.000Z</v>
      </c>
      <c r="B37" s="5" t="str">
        <v>11 Summer Ale</v>
      </c>
      <c r="D37" s="7">
        <v>2</v>
      </c>
      <c r="F37" s="7">
        <v>1</v>
      </c>
      <c r="H37" s="5" t="str">
        <v/>
      </c>
      <c r="I37" s="7">
        <f>(C37*50+D37*30+E37*20+F37*15+G37*10)/100</f>
        <v>0.75</v>
      </c>
    </row>
    <row r="38">
      <c r="A38" s="5" t="d">
        <v>2026-07-29T12:00:00.000Z</v>
      </c>
      <c r="B38" s="5" t="str">
        <v>11 Světlá</v>
      </c>
      <c r="D38" s="7">
        <v>31</v>
      </c>
      <c r="H38" s="5" t="str">
        <v/>
      </c>
      <c r="I38" s="7">
        <f>(C38*50+D38*30+E38*20+F38*15+G38*10)/100</f>
        <v>9.3</v>
      </c>
    </row>
    <row r="39">
      <c r="A39" s="5" t="d">
        <v>2026-07-29T12:00:00.000Z</v>
      </c>
      <c r="B39" s="5" t="str">
        <v>12 Tmavá</v>
      </c>
      <c r="C39" s="7">
        <v>1</v>
      </c>
      <c r="H39" s="5" t="str">
        <v/>
      </c>
      <c r="I39" s="7">
        <f>(C39*50+D39*30+E39*20+F39*15+G39*10)/100</f>
        <v>0.5</v>
      </c>
    </row>
    <row r="40">
      <c r="A40" s="5" t="d">
        <v>2026-07-30T12:00:00.000Z</v>
      </c>
      <c r="B40" s="5" t="str">
        <v>Desítka</v>
      </c>
      <c r="D40" s="7">
        <v>27</v>
      </c>
      <c r="H40" s="5" t="str">
        <v/>
      </c>
      <c r="I40" s="7">
        <f>(C40*50+D40*30+E40*20+F40*15+G40*10)/100</f>
        <v>8.1</v>
      </c>
    </row>
    <row r="41">
      <c r="A41" s="5" t="d">
        <v>2026-08-04T12:00:00.000Z</v>
      </c>
      <c r="B41" s="5" t="str">
        <v>Desítka</v>
      </c>
      <c r="D41" s="7">
        <v>33</v>
      </c>
      <c r="E41" s="7">
        <v>1</v>
      </c>
      <c r="G41" s="7">
        <v>2</v>
      </c>
      <c r="H41" s="5" t="str">
        <v/>
      </c>
      <c r="I41" s="7">
        <f>(C41*50+D41*30+E41*20+F41*15+G41*10)/100</f>
        <v>10.3</v>
      </c>
    </row>
    <row r="42">
      <c r="A42" s="5" t="d">
        <v>2026-08-04T12:00:00.000Z</v>
      </c>
      <c r="B42" s="5" t="str">
        <v>11 Světlá</v>
      </c>
      <c r="C42" s="7">
        <v>3</v>
      </c>
      <c r="D42" s="7">
        <v>12</v>
      </c>
      <c r="G42" s="7">
        <v>2</v>
      </c>
      <c r="H42" s="5" t="str">
        <v/>
      </c>
      <c r="I42" s="7">
        <f>(C42*50+D42*30+E42*20+F42*15+G42*10)/100</f>
        <v>5.3</v>
      </c>
    </row>
    <row r="43">
      <c r="A43" s="5" t="d">
        <v>2026-08-04T12:00:00.000Z</v>
      </c>
      <c r="B43" s="5" t="str">
        <v>12 Světlá</v>
      </c>
      <c r="C43" s="7">
        <v>12</v>
      </c>
      <c r="D43" s="7">
        <v>32</v>
      </c>
      <c r="E43" s="7">
        <v>2</v>
      </c>
      <c r="F43" s="7">
        <v>1</v>
      </c>
      <c r="G43" s="7">
        <v>2</v>
      </c>
      <c r="H43" s="5" t="str">
        <v/>
      </c>
      <c r="I43" s="7">
        <f>(C43*50+D43*30+E43*20+F43*15+G43*10)/100</f>
        <v>16.35</v>
      </c>
    </row>
    <row r="44">
      <c r="A44" s="5" t="d">
        <v>2026-08-04T12:00:00.000Z</v>
      </c>
      <c r="B44" s="5" t="str">
        <v>11 Summer Ale</v>
      </c>
      <c r="C44" s="7">
        <v>1</v>
      </c>
      <c r="D44" s="7">
        <v>12</v>
      </c>
      <c r="H44" s="5" t="str">
        <v/>
      </c>
      <c r="I44" s="7">
        <f>(C44*50+D44*30+E44*20+F44*15+G44*10)/100</f>
        <v>4.1</v>
      </c>
    </row>
    <row r="45">
      <c r="A45" s="5" t="d">
        <v>2026-08-05T12:00:00.000Z</v>
      </c>
      <c r="B45" s="5" t="str">
        <v>12 Tmavá</v>
      </c>
      <c r="D45" s="7">
        <v>1</v>
      </c>
      <c r="H45" s="5" t="str">
        <v/>
      </c>
      <c r="I45" s="7">
        <f>(C45*50+D45*30+E45*20+F45*15+G45*10)/100</f>
        <v>0.3</v>
      </c>
    </row>
    <row r="46">
      <c r="A46" s="5" t="d">
        <v>2026-08-09T12:00:00.000Z</v>
      </c>
      <c r="B46" s="5" t="str">
        <v>Osma</v>
      </c>
      <c r="C46" s="7">
        <v>9</v>
      </c>
      <c r="H46" s="5" t="str">
        <v/>
      </c>
      <c r="I46" s="7">
        <f>(C46*50+D46*30+E46*20+F46*15+G46*10)/100</f>
        <v>4.5</v>
      </c>
    </row>
    <row r="47">
      <c r="A47" s="5" t="d">
        <v>2026-08-10T12:00:00.000Z</v>
      </c>
      <c r="B47" s="5" t="str">
        <v>12 Světlá</v>
      </c>
      <c r="C47" s="7">
        <v>17</v>
      </c>
      <c r="D47" s="7">
        <v>9</v>
      </c>
      <c r="H47" s="5" t="str">
        <v>Tank 5</v>
      </c>
      <c r="I47" s="7">
        <f>(C47*50+D47*30+E47*20+F47*15+G47*10)/100</f>
        <v>11.2</v>
      </c>
    </row>
    <row r="48">
      <c r="A48" s="5" t="d">
        <v>2026-08-11T12:00:00.000Z</v>
      </c>
      <c r="B48" s="5" t="str">
        <v>Desítka</v>
      </c>
      <c r="D48" s="7">
        <v>18</v>
      </c>
      <c r="E48" s="7">
        <v>1</v>
      </c>
      <c r="F48" s="7">
        <v>9</v>
      </c>
      <c r="G48" s="7">
        <v>2</v>
      </c>
      <c r="H48" s="5" t="str">
        <v>Tank 7</v>
      </c>
      <c r="I48" s="7">
        <f>(C48*50+D48*30+E48*20+F48*15+G48*10)/100</f>
        <v>7.15</v>
      </c>
    </row>
    <row r="49">
      <c r="A49" s="5" t="d">
        <v>2026-08-11T12:00:00.000Z</v>
      </c>
      <c r="B49" s="5" t="str">
        <v>12 Světlá</v>
      </c>
      <c r="D49" s="7">
        <v>13</v>
      </c>
      <c r="E49" s="7">
        <v>2</v>
      </c>
      <c r="H49" s="5" t="str">
        <v>Tank 5</v>
      </c>
      <c r="I49" s="7">
        <f>(C49*50+D49*30+E49*20+F49*15+G49*10)/100</f>
        <v>4.3</v>
      </c>
    </row>
    <row r="50">
      <c r="A50" s="5" t="d">
        <v>2026-08-11T12:00:00.000Z</v>
      </c>
      <c r="B50" s="5" t="str">
        <v>Osma</v>
      </c>
      <c r="C50" s="7">
        <v>6</v>
      </c>
      <c r="H50" s="5" t="str">
        <v>Tank 3</v>
      </c>
      <c r="I50" s="7">
        <f>(C50*50+D50*30+E50*20+F50*15+G50*10)/100</f>
        <v>3</v>
      </c>
    </row>
    <row r="51">
      <c r="A51" s="5" t="d">
        <v>2026-08-12T12:00:00.000Z</v>
      </c>
      <c r="B51" s="5" t="str">
        <v>Desítka</v>
      </c>
      <c r="C51" s="7">
        <v>2</v>
      </c>
      <c r="D51" s="7">
        <v>4</v>
      </c>
      <c r="H51" s="5" t="str">
        <v>Tank 7</v>
      </c>
      <c r="I51" s="7">
        <f>(C51*50+D51*30+E51*20+F51*15+G51*10)/100</f>
        <v>2.2</v>
      </c>
    </row>
    <row r="52">
      <c r="A52" s="5" t="d">
        <v>2026-08-12T12:00:00.000Z</v>
      </c>
      <c r="B52" s="5" t="str">
        <v>11 Světlá</v>
      </c>
      <c r="C52" s="7">
        <v>2</v>
      </c>
      <c r="D52" s="7">
        <v>12</v>
      </c>
      <c r="E52" s="7">
        <v>10</v>
      </c>
      <c r="F52" s="7">
        <v>1</v>
      </c>
      <c r="H52" s="5" t="str">
        <v>Tank 4</v>
      </c>
      <c r="I52" s="7">
        <f>(C52*50+D52*30+E52*20+F52*15+G52*10)/100</f>
        <v>6.75</v>
      </c>
    </row>
    <row r="53">
      <c r="A53" s="5" t="d">
        <v>2026-08-12T12:00:00.000Z</v>
      </c>
      <c r="B53" s="5" t="str">
        <v>11 Summer Ale</v>
      </c>
      <c r="D53" s="7">
        <v>6</v>
      </c>
      <c r="F53" s="7">
        <v>2</v>
      </c>
      <c r="H53" s="5" t="str">
        <v>Tank 6</v>
      </c>
      <c r="I53" s="7">
        <f>(C53*50+D53*30+E53*20+F53*15+G53*10)/100</f>
        <v>2.1</v>
      </c>
    </row>
    <row r="54">
      <c r="A54" s="5" t="d">
        <v>2026-08-13T12:00:00.000Z</v>
      </c>
      <c r="B54" s="5" t="str">
        <v>11 Světlá</v>
      </c>
      <c r="C54" s="7">
        <v>6</v>
      </c>
      <c r="H54" s="5" t="str">
        <v>Tank 4</v>
      </c>
      <c r="I54" s="7">
        <f>(C54*50+D54*30+E54*20+F54*15+G54*10)/100</f>
        <v>3</v>
      </c>
    </row>
    <row r="55">
      <c r="A55" s="5" t="d">
        <v>2026-08-13T12:00:00.000Z</v>
      </c>
      <c r="B55" s="5" t="str">
        <v>12 Tmavá</v>
      </c>
      <c r="C55" s="7">
        <v>2</v>
      </c>
      <c r="D55" s="7">
        <v>4</v>
      </c>
      <c r="H55" s="5" t="str">
        <v>Tank 1</v>
      </c>
      <c r="I55" s="7">
        <f>(C55*50+D55*30+E55*20+F55*15+G55*10)/100</f>
        <v>2.2</v>
      </c>
    </row>
    <row r="56">
      <c r="A56" s="5" t="d">
        <v>2026-08-13T12:00:00.000Z</v>
      </c>
      <c r="B56" s="5" t="str">
        <v>Jantar</v>
      </c>
      <c r="C56" s="7">
        <v>1</v>
      </c>
      <c r="D56" s="7">
        <v>1</v>
      </c>
      <c r="H56" s="5" t="str">
        <v/>
      </c>
      <c r="I56" s="7">
        <f>(C56*50+D56*30+E56*20+F56*15+G56*10)/100</f>
        <v>0.8</v>
      </c>
    </row>
    <row r="57">
      <c r="A57" s="5" t="d">
        <v>2026-08-13T12:00:00.000Z</v>
      </c>
      <c r="B57" s="5" t="str">
        <v>11 Summer Ale</v>
      </c>
      <c r="C57" s="7">
        <v>6</v>
      </c>
      <c r="H57" s="5" t="str">
        <v>Tank 6</v>
      </c>
      <c r="I57" s="7">
        <f>(C57*50+D57*30+E57*20+F57*15+G57*10)/100</f>
        <v>3</v>
      </c>
    </row>
    <row r="58">
      <c r="A58" s="5" t="d">
        <v>2026-08-14T12:00:00.000Z</v>
      </c>
      <c r="B58" s="5" t="str">
        <v>12 Světlá</v>
      </c>
      <c r="C58" s="7">
        <v>2</v>
      </c>
      <c r="H58" s="5" t="str">
        <v>Tank 5</v>
      </c>
      <c r="I58" s="7">
        <f>(C58*50+D58*30+E58*20+F58*15+G58*10)/100</f>
        <v>1</v>
      </c>
    </row>
    <row r="59">
      <c r="A59" s="5" t="d">
        <v>2026-08-17T12:00:00.000Z</v>
      </c>
      <c r="B59" s="5" t="str">
        <v>12 Světlá</v>
      </c>
      <c r="C59" s="7">
        <v>27</v>
      </c>
      <c r="H59" s="5" t="str">
        <v>Tank 5</v>
      </c>
      <c r="I59" s="7">
        <f>(C59*50+D59*30+E59*20+F59*15+G59*10)/100</f>
        <v>13.5</v>
      </c>
    </row>
    <row r="60">
      <c r="A60" s="5" t="d">
        <v>2026-08-18T12:00:00.000Z</v>
      </c>
      <c r="B60" s="5" t="str">
        <v>Desítka</v>
      </c>
      <c r="D60" s="7">
        <v>14</v>
      </c>
      <c r="E60" s="7">
        <v>2</v>
      </c>
      <c r="F60" s="7">
        <v>2</v>
      </c>
      <c r="H60" s="5" t="str">
        <v>Tank 7</v>
      </c>
      <c r="I60" s="7">
        <f>(C60*50+D60*30+E60*20+F60*15+G60*10)/100</f>
        <v>4.9</v>
      </c>
    </row>
    <row r="61">
      <c r="A61" s="5" t="d">
        <v>2026-08-18T12:00:00.000Z</v>
      </c>
      <c r="B61" s="5" t="str">
        <v>11 Světlá</v>
      </c>
      <c r="D61" s="7">
        <v>4</v>
      </c>
      <c r="F61" s="7">
        <v>3</v>
      </c>
      <c r="G61" s="7">
        <v>1</v>
      </c>
      <c r="H61" s="5" t="str">
        <v>Tank 4</v>
      </c>
      <c r="I61" s="7">
        <f>(C61*50+D61*30+E61*20+F61*15+G61*10)/100</f>
        <v>1.75</v>
      </c>
    </row>
    <row r="62">
      <c r="A62" s="5" t="d">
        <v>2026-08-18T12:00:00.000Z</v>
      </c>
      <c r="B62" s="5" t="str">
        <v>12 Světlá</v>
      </c>
      <c r="D62" s="7">
        <v>19</v>
      </c>
      <c r="E62" s="7">
        <v>1</v>
      </c>
      <c r="H62" s="5" t="str">
        <v>Tank 5</v>
      </c>
      <c r="I62" s="7">
        <f>(C62*50+D62*30+E62*20+F62*15+G62*10)/100</f>
        <v>5.9</v>
      </c>
    </row>
    <row r="63">
      <c r="A63" s="5" t="d">
        <v>2026-08-18T12:00:00.000Z</v>
      </c>
      <c r="B63" s="5" t="str">
        <v>Jantar</v>
      </c>
      <c r="D63" s="7">
        <v>2</v>
      </c>
      <c r="H63" s="5" t="str">
        <v/>
      </c>
      <c r="I63" s="7">
        <f>(C63*50+D63*30+E63*20+F63*15+G63*10)/100</f>
        <v>0.6</v>
      </c>
    </row>
    <row r="64">
      <c r="A64" s="5" t="d">
        <v>2026-08-18T12:00:00.000Z</v>
      </c>
      <c r="B64" s="5" t="str">
        <v>Osma</v>
      </c>
      <c r="C64" s="7">
        <v>3</v>
      </c>
      <c r="H64" s="5" t="str">
        <v>Tank 3</v>
      </c>
      <c r="I64" s="7">
        <f>(C64*50+D64*30+E64*20+F64*15+G64*10)/100</f>
        <v>1.5</v>
      </c>
    </row>
    <row r="65">
      <c r="A65" s="5" t="d">
        <v>2026-08-18T12:00:00.000Z</v>
      </c>
      <c r="B65" s="5" t="str">
        <v>11 Summer Ale</v>
      </c>
      <c r="C65" s="7">
        <v>8</v>
      </c>
      <c r="D65" s="7">
        <v>11</v>
      </c>
      <c r="H65" s="5" t="str">
        <v>Tank 6</v>
      </c>
      <c r="I65" s="7">
        <f>(C65*50+D65*30+E65*20+F65*15+G65*10)/100</f>
        <v>7.3</v>
      </c>
    </row>
    <row r="66">
      <c r="A66" s="5" t="d">
        <v>2026-08-19T12:00:00.000Z</v>
      </c>
      <c r="B66" s="5" t="str">
        <v>11 Světlá</v>
      </c>
      <c r="C66" s="7">
        <v>12</v>
      </c>
      <c r="D66" s="7">
        <v>6</v>
      </c>
      <c r="G66" s="7">
        <v>2</v>
      </c>
      <c r="H66" s="5" t="str">
        <v>Tank 4</v>
      </c>
      <c r="I66" s="7">
        <f>(C66*50+D66*30+E66*20+F66*15+G66*10)/100</f>
        <v>8</v>
      </c>
    </row>
    <row r="67">
      <c r="A67" s="5" t="d">
        <v>2026-08-19T12:00:00.000Z</v>
      </c>
      <c r="B67" s="5" t="str">
        <v>12 Světlá</v>
      </c>
      <c r="C67" s="7">
        <v>6</v>
      </c>
      <c r="D67" s="7">
        <v>2</v>
      </c>
      <c r="F67" s="7">
        <v>1</v>
      </c>
      <c r="H67" s="5" t="str">
        <v/>
      </c>
      <c r="I67" s="7">
        <f>(C67*50+D67*30+E67*20+F67*15+G67*10)/100</f>
        <v>3.75</v>
      </c>
    </row>
    <row r="68">
      <c r="A68" s="5" t="d">
        <v>2026-08-19T12:00:00.000Z</v>
      </c>
      <c r="B68" s="5" t="str">
        <v>Citron</v>
      </c>
      <c r="D68" s="7">
        <v>2</v>
      </c>
      <c r="H68" s="5" t="str">
        <v/>
      </c>
      <c r="I68" s="7">
        <f>(C68*50+D68*30+E68*20+F68*15+G68*10)/100</f>
        <v>0.6</v>
      </c>
    </row>
    <row r="69">
      <c r="A69" s="5" t="d">
        <v>2026-08-19T12:00:00.000Z</v>
      </c>
      <c r="B69" s="5" t="str">
        <v>Jantar</v>
      </c>
      <c r="D69" s="7">
        <v>2</v>
      </c>
      <c r="H69" s="5" t="str">
        <v/>
      </c>
      <c r="I69" s="7">
        <f>(C69*50+D69*30+E69*20+F69*15+G69*10)/100</f>
        <v>0.6</v>
      </c>
    </row>
    <row r="70">
      <c r="A70" s="5" t="d">
        <v>2026-08-19T12:00:00.000Z</v>
      </c>
      <c r="B70" s="5" t="str">
        <v>Osma</v>
      </c>
      <c r="E70" s="7">
        <v>1</v>
      </c>
      <c r="H70" s="5" t="str">
        <v>Tank 3</v>
      </c>
      <c r="I70" s="7">
        <f>(C70*50+D70*30+E70*20+F70*15+G70*10)/100</f>
        <v>0.2</v>
      </c>
    </row>
    <row r="71">
      <c r="A71" s="5" t="d">
        <v>2026-08-20T12:00:00.000Z</v>
      </c>
      <c r="B71" s="5" t="str">
        <v>Desítka</v>
      </c>
      <c r="D71" s="7">
        <v>6</v>
      </c>
      <c r="H71" s="5" t="str">
        <v>Tank 4</v>
      </c>
      <c r="I71" s="7">
        <f>(C71*50+D71*30+E71*20+F71*15+G71*10)/100</f>
        <v>1.8</v>
      </c>
    </row>
    <row r="72">
      <c r="A72" s="5" t="d">
        <v>2026-08-20T12:00:00.000Z</v>
      </c>
      <c r="B72" s="5" t="str">
        <v>12 Světlá</v>
      </c>
      <c r="D72" s="7">
        <v>17</v>
      </c>
      <c r="H72" s="5" t="str">
        <v/>
      </c>
      <c r="I72" s="7">
        <f>(C72*50+D72*30+E72*20+F72*15+G72*10)/100</f>
        <v>5.1</v>
      </c>
    </row>
    <row r="73">
      <c r="A73" s="5" t="d">
        <v>2026-08-20T12:00:00.000Z</v>
      </c>
      <c r="B73" s="5" t="str">
        <v>Osma</v>
      </c>
      <c r="C73" s="7">
        <v>2</v>
      </c>
      <c r="H73" s="5" t="str">
        <v>Tank 3</v>
      </c>
      <c r="I73" s="7">
        <f>(C73*50+D73*30+E73*20+F73*15+G73*10)/100</f>
        <v>1</v>
      </c>
    </row>
    <row r="74">
      <c r="A74" s="5" t="d">
        <v>2026-08-25T12:00:00.000Z</v>
      </c>
      <c r="B74" s="5" t="str">
        <v>11 Světlá</v>
      </c>
      <c r="C74" s="7">
        <v>13</v>
      </c>
      <c r="D74" s="7">
        <v>15</v>
      </c>
      <c r="E74" s="7">
        <v>5</v>
      </c>
      <c r="H74" s="5" t="str">
        <v/>
      </c>
      <c r="I74" s="7">
        <f>(C74*50+D74*30+E74*20+F74*15+G74*10)/100</f>
        <v>12</v>
      </c>
    </row>
    <row r="75">
      <c r="A75" s="5" t="d">
        <v>2026-08-25T12:00:00.000Z</v>
      </c>
      <c r="B75" s="5" t="str">
        <v>12 Světlá</v>
      </c>
      <c r="D75" s="7">
        <v>6</v>
      </c>
      <c r="H75" s="5" t="str">
        <v/>
      </c>
      <c r="I75" s="7">
        <f>(C75*50+D75*30+E75*20+F75*15+G75*10)/100</f>
        <v>1.8</v>
      </c>
    </row>
    <row r="76">
      <c r="A76" s="5" t="d">
        <v>2026-08-25T12:00:00.000Z</v>
      </c>
      <c r="B76" s="5" t="str">
        <v>Osma</v>
      </c>
      <c r="C76" s="7">
        <v>1</v>
      </c>
      <c r="H76" s="5" t="str">
        <v>Tank 3</v>
      </c>
      <c r="I76" s="7">
        <f>(C76*50+D76*30+E76*20+F76*15+G76*10)/100</f>
        <v>0.5</v>
      </c>
    </row>
    <row r="77">
      <c r="A77" s="5" t="d">
        <v>2026-08-31T12:00:00.000Z</v>
      </c>
      <c r="B77" s="5" t="str">
        <v>Desítka</v>
      </c>
      <c r="C77" s="7">
        <v>-1</v>
      </c>
      <c r="H77" s="5" t="str">
        <v/>
      </c>
      <c r="I77" s="7">
        <f>(C77*50+D77*30+E77*20+F77*15+G77*10)/100</f>
        <v>-0.5</v>
      </c>
    </row>
    <row r="78">
      <c r="A78" s="5" t="d">
        <v>2026-08-31T12:00:00.000Z</v>
      </c>
      <c r="B78" s="5" t="str">
        <v>Desítka</v>
      </c>
      <c r="C78" s="7">
        <v>1</v>
      </c>
      <c r="D78" s="7">
        <v>26</v>
      </c>
      <c r="E78" s="7">
        <v>5</v>
      </c>
      <c r="F78" s="7">
        <v>2</v>
      </c>
      <c r="G78" s="7">
        <v>3</v>
      </c>
      <c r="H78" s="5" t="str">
        <v>Tank 4</v>
      </c>
      <c r="I78" s="7">
        <f>(C78*50+D78*30+E78*20+F78*15+G78*10)/100</f>
        <v>9.9</v>
      </c>
    </row>
    <row r="79">
      <c r="A79" s="5" t="d">
        <v>2026-08-31T12:00:00.000Z</v>
      </c>
      <c r="B79" s="5" t="str">
        <v>11 Světlá</v>
      </c>
      <c r="F79" s="7">
        <v>-1</v>
      </c>
      <c r="H79" s="5" t="str">
        <v/>
      </c>
      <c r="I79" s="7">
        <f>(C79*50+D79*30+E79*20+F79*15+G79*10)/100</f>
        <v>-0.15</v>
      </c>
    </row>
    <row r="80">
      <c r="A80" s="5" t="d">
        <v>2026-08-31T12:00:00.000Z</v>
      </c>
      <c r="B80" s="5" t="str">
        <v>11 Světlá</v>
      </c>
      <c r="C80" s="7">
        <v>14</v>
      </c>
      <c r="D80" s="7">
        <v>20</v>
      </c>
      <c r="E80" s="7">
        <v>1</v>
      </c>
      <c r="G80" s="7">
        <v>6</v>
      </c>
      <c r="H80" s="5" t="str">
        <v>Tank 8</v>
      </c>
      <c r="I80" s="7">
        <f>(C80*50+D80*30+E80*20+F80*15+G80*10)/100</f>
        <v>13.8</v>
      </c>
    </row>
    <row r="81">
      <c r="A81" s="5" t="d">
        <v>2026-08-31T12:00:00.000Z</v>
      </c>
      <c r="B81" s="5" t="str">
        <v>12 Světlá</v>
      </c>
      <c r="D81" s="7">
        <v>-1</v>
      </c>
      <c r="H81" s="5" t="str">
        <v/>
      </c>
      <c r="I81" s="7">
        <f>(C81*50+D81*30+E81*20+F81*15+G81*10)/100</f>
        <v>-0.3</v>
      </c>
    </row>
    <row r="82">
      <c r="A82" s="5" t="d">
        <v>2026-08-31T12:00:00.000Z</v>
      </c>
      <c r="B82" s="5" t="str">
        <v>12 Světlá</v>
      </c>
      <c r="C82" s="7">
        <v>31</v>
      </c>
      <c r="H82" s="5" t="str">
        <v>Spilka 1</v>
      </c>
      <c r="I82" s="7">
        <f>(C82*50+D82*30+E82*20+F82*15+G82*10)/100</f>
        <v>15.5</v>
      </c>
    </row>
    <row r="83">
      <c r="A83" s="5" t="d">
        <v>2026-08-31T12:00:00.000Z</v>
      </c>
      <c r="B83" s="5" t="str">
        <v>12 Tmavá</v>
      </c>
      <c r="C83" s="7">
        <v>1</v>
      </c>
      <c r="D83" s="7">
        <v>4</v>
      </c>
      <c r="H83" s="5" t="str">
        <v>Tank 1</v>
      </c>
      <c r="I83" s="7">
        <f>(C83*50+D83*30+E83*20+F83*15+G83*10)/100</f>
        <v>1.7</v>
      </c>
    </row>
    <row r="84">
      <c r="A84" s="5" t="d">
        <v>2026-08-31T12:00:00.000Z</v>
      </c>
      <c r="B84" s="5" t="str">
        <v>Grep</v>
      </c>
      <c r="D84" s="7">
        <v>1</v>
      </c>
      <c r="H84" s="5" t="str">
        <v/>
      </c>
      <c r="I84" s="7">
        <f>(C84*50+D84*30+E84*20+F84*15+G84*10)/100</f>
        <v>0.3</v>
      </c>
    </row>
    <row r="85">
      <c r="A85" s="5" t="d">
        <v>2026-08-31T12:00:00.000Z</v>
      </c>
      <c r="B85" s="5" t="str">
        <v>Jantar</v>
      </c>
      <c r="C85" s="7">
        <v>2</v>
      </c>
      <c r="D85" s="7">
        <v>9</v>
      </c>
      <c r="H85" s="5" t="str">
        <v/>
      </c>
      <c r="I85" s="7">
        <f>(C85*50+D85*30+E85*20+F85*15+G85*10)/100</f>
        <v>3.7</v>
      </c>
    </row>
    <row r="86">
      <c r="A86" s="5" t="d">
        <v>2026-08-31T12:00:00.000Z</v>
      </c>
      <c r="B86" s="5" t="str">
        <v>Osma</v>
      </c>
      <c r="C86" s="7">
        <v>5</v>
      </c>
      <c r="D86" s="7">
        <v>3</v>
      </c>
      <c r="H86" s="5" t="str">
        <v>Tank 3</v>
      </c>
      <c r="I86" s="7">
        <f>(C86*50+D86*30+E86*20+F86*15+G86*10)/100</f>
        <v>3.4</v>
      </c>
    </row>
    <row r="87">
      <c r="A87" s="5" t="d">
        <v>2026-08-31T12:00:00.000Z</v>
      </c>
      <c r="B87" s="5" t="str">
        <v>11 Summer Ale</v>
      </c>
      <c r="C87" s="7">
        <v>5</v>
      </c>
      <c r="D87" s="7">
        <v>5</v>
      </c>
      <c r="F87" s="7">
        <v>-1</v>
      </c>
      <c r="H87" s="5" t="str">
        <v/>
      </c>
      <c r="I87" s="7">
        <f>(C87*50+D87*30+E87*20+F87*15+G87*10)/100</f>
        <v>3.85</v>
      </c>
    </row>
    <row r="88">
      <c r="B88" s="8" t="str">
        <v>CELKEM</v>
      </c>
      <c r="C88" s="9">
        <f>SUM(C3:C87)</f>
        <v>388</v>
      </c>
      <c r="D88" s="9">
        <f>SUM(D3:D87)</f>
        <v>693</v>
      </c>
      <c r="E88" s="9">
        <f>SUM(E3:E87)</f>
        <v>56</v>
      </c>
      <c r="F88" s="9">
        <f>SUM(F3:F87)</f>
        <v>43</v>
      </c>
      <c r="G88" s="9">
        <f>SUM(G3:G87)</f>
        <v>32</v>
      </c>
      <c r="I88" s="10">
        <f>SUM(I3:I87)</f>
        <v>422.75</v>
      </c>
    </row>
  </sheetData>
  <mergeCells count="1">
    <mergeCell ref="C1:G1"/>
  </mergeCells>
  <ignoredErrors>
    <ignoredError numberStoredAsText="1" sqref="A1:I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Stáčení KEG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